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LookupTable" sheetId="2" state="visible" r:id="rId2"/>
    <sheet name="FormulasDemo" sheetId="3" state="visible" r:id="rId3"/>
    <sheet name="PivotSummary" sheetId="4" state="visible" r:id="rId4"/>
    <sheet name="Dashboard" sheetId="5" state="visible" r:id="rId5"/>
    <sheet name="ConditionalForm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  <font>
      <b val="1"/>
      <color rgb="00FFFFFF"/>
      <sz val="12"/>
    </font>
    <font>
      <b val="1"/>
    </font>
    <font>
      <b val="1"/>
      <color rgb="00FFFFFF"/>
      <sz val="11"/>
    </font>
    <font>
      <b val="1"/>
      <sz val="16"/>
    </font>
    <font>
      <i val="1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2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4" borderId="0" pivotButton="0" quotePrefix="0" xfId="0"/>
    <xf numFmtId="0" fontId="6" fillId="5" borderId="0" pivotButton="0" quotePrefix="0" xfId="0"/>
    <xf numFmtId="0" fontId="6" fillId="6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10 Coins by Score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'Dashboard'!C9</f>
            </strRef>
          </tx>
          <spPr>
            <a:ln>
              <a:prstDash val="solid"/>
            </a:ln>
          </spPr>
          <cat>
            <numRef>
              <f>'Dashboard'!$B$10:$B$19</f>
            </numRef>
          </cat>
          <val>
            <numRef>
              <f>'Dashboard'!$C$10:$C$19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Signal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'Dashboard'!G9</f>
            </strRef>
          </tx>
          <spPr>
            <a:ln>
              <a:prstDash val="solid"/>
            </a:ln>
          </spPr>
          <cat>
            <numRef>
              <f>'Dashboard'!$F$10:$F$11</f>
            </numRef>
          </cat>
          <val>
            <numRef>
              <f>'Dashboard'!$G$10:$G$11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21</row>
      <rowOff>0</rowOff>
    </from>
    <ext cx="36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>
      <c r="A1" s="1" t="inlineStr">
        <is>
          <t>SMARTCOINS RAW DATA</t>
        </is>
      </c>
    </row>
    <row r="3">
      <c r="A3" s="2" t="inlineStr">
        <is>
          <t>Coin</t>
        </is>
      </c>
      <c r="B3" s="2" t="inlineStr">
        <is>
          <t>Symbol</t>
        </is>
      </c>
      <c r="C3" s="2" t="inlineStr">
        <is>
          <t>Price</t>
        </is>
      </c>
      <c r="D3" s="2" t="inlineStr">
        <is>
          <t>MarketCap</t>
        </is>
      </c>
      <c r="E3" s="2" t="inlineStr">
        <is>
          <t>Volume24h</t>
        </is>
      </c>
      <c r="F3" s="2" t="inlineStr">
        <is>
          <t>Change24h</t>
        </is>
      </c>
      <c r="G3" s="2" t="inlineStr">
        <is>
          <t>Change7d</t>
        </is>
      </c>
      <c r="H3" s="2" t="inlineStr">
        <is>
          <t>Change30d</t>
        </is>
      </c>
      <c r="I3" s="2" t="inlineStr">
        <is>
          <t>Type</t>
        </is>
      </c>
      <c r="J3" s="2" t="inlineStr">
        <is>
          <t>Category</t>
        </is>
      </c>
      <c r="K3" s="2" t="inlineStr">
        <is>
          <t>Signal</t>
        </is>
      </c>
      <c r="L3" s="2" t="inlineStr">
        <is>
          <t>SignalStrength</t>
        </is>
      </c>
      <c r="M3" s="2" t="inlineStr">
        <is>
          <t>OverallScore</t>
        </is>
      </c>
      <c r="N3" s="2" t="inlineStr">
        <is>
          <t>VolatilityRisk</t>
        </is>
      </c>
      <c r="O3" s="2" t="inlineStr">
        <is>
          <t>LiquidityRisk</t>
        </is>
      </c>
      <c r="P3" s="2" t="inlineStr">
        <is>
          <t>MomentumScore</t>
        </is>
      </c>
      <c r="Q3" s="2" t="inlineStr">
        <is>
          <t>RiskScore</t>
        </is>
      </c>
    </row>
    <row r="4">
      <c r="A4" t="inlineStr">
        <is>
          <t>Moonchain</t>
        </is>
      </c>
      <c r="B4" t="inlineStr">
        <is>
          <t>MCH</t>
        </is>
      </c>
      <c r="C4" t="n">
        <v>0.018842</v>
      </c>
      <c r="D4" t="n">
        <v>4700058.17</v>
      </c>
      <c r="E4" t="n">
        <v>108780.45</v>
      </c>
      <c r="F4" t="n">
        <v>-0.66</v>
      </c>
      <c r="G4" t="n">
        <v>203866.28</v>
      </c>
      <c r="H4" t="n">
        <v>15331.05</v>
      </c>
      <c r="I4" t="inlineStr">
        <is>
          <t>meme</t>
        </is>
      </c>
      <c r="J4" t="inlineStr">
        <is>
          <t>Small</t>
        </is>
      </c>
      <c r="K4" t="inlineStr">
        <is>
          <t>STRONG_BUY</t>
        </is>
      </c>
      <c r="L4" t="n">
        <v>100</v>
      </c>
      <c r="M4" t="n">
        <v>672822.24</v>
      </c>
      <c r="N4" t="n">
        <v>0</v>
      </c>
      <c r="O4" t="n">
        <v>100</v>
      </c>
      <c r="P4" t="n">
        <v>672772.92</v>
      </c>
      <c r="Q4" t="n">
        <v>8.800000000000001</v>
      </c>
    </row>
    <row r="5">
      <c r="A5" t="inlineStr">
        <is>
          <t>Smilek to the Bank</t>
        </is>
      </c>
      <c r="B5" t="inlineStr">
        <is>
          <t>SMILEK</t>
        </is>
      </c>
      <c r="C5" t="n">
        <v>1.2e-05</v>
      </c>
      <c r="D5" t="n">
        <v>23939573.17</v>
      </c>
      <c r="E5" t="n">
        <v>21512.52</v>
      </c>
      <c r="F5" t="n">
        <v>1384.38</v>
      </c>
      <c r="G5" t="n">
        <v>161561.34</v>
      </c>
      <c r="H5" t="n">
        <v>110488.76</v>
      </c>
      <c r="I5" t="inlineStr">
        <is>
          <t>crypto</t>
        </is>
      </c>
      <c r="J5" t="inlineStr">
        <is>
          <t>Small</t>
        </is>
      </c>
      <c r="K5" t="inlineStr">
        <is>
          <t>STRONG_BUY</t>
        </is>
      </c>
      <c r="L5" t="n">
        <v>100</v>
      </c>
      <c r="M5" t="n">
        <v>535945.87</v>
      </c>
      <c r="N5" t="n">
        <v>0</v>
      </c>
      <c r="O5" t="n">
        <v>8.99</v>
      </c>
      <c r="P5" t="n">
        <v>535917.87</v>
      </c>
      <c r="Q5" t="n">
        <v>3.34</v>
      </c>
    </row>
    <row r="6">
      <c r="A6" t="inlineStr">
        <is>
          <t>Donkey King</t>
        </is>
      </c>
      <c r="B6" t="inlineStr">
        <is>
          <t>DOKY</t>
        </is>
      </c>
      <c r="C6" t="n">
        <v>0.001699</v>
      </c>
      <c r="D6" t="n">
        <v>14734756.57</v>
      </c>
      <c r="E6" t="n">
        <v>0</v>
      </c>
      <c r="F6" t="n">
        <v>2051.95</v>
      </c>
      <c r="G6" t="n">
        <v>184505.23</v>
      </c>
      <c r="H6" t="n">
        <v>128233.78</v>
      </c>
      <c r="I6" t="inlineStr">
        <is>
          <t>meme</t>
        </is>
      </c>
      <c r="J6" t="inlineStr">
        <is>
          <t>Small</t>
        </is>
      </c>
      <c r="K6" t="inlineStr">
        <is>
          <t>BUY</t>
        </is>
      </c>
      <c r="L6" t="n">
        <v>100</v>
      </c>
      <c r="M6" t="n">
        <v>501526.55</v>
      </c>
      <c r="N6" t="n">
        <v>0</v>
      </c>
      <c r="O6" t="n">
        <v>0</v>
      </c>
      <c r="P6" t="n">
        <v>501513.15</v>
      </c>
      <c r="Q6" t="n">
        <v>2.8</v>
      </c>
    </row>
    <row r="7">
      <c r="A7" t="inlineStr">
        <is>
          <t>Beers</t>
        </is>
      </c>
      <c r="B7" t="inlineStr">
        <is>
          <t>BEER</t>
        </is>
      </c>
      <c r="C7" t="n">
        <v>285832.660071</v>
      </c>
      <c r="D7" t="n">
        <v>0</v>
      </c>
      <c r="E7" t="n">
        <v>315610.03</v>
      </c>
      <c r="F7" t="n">
        <v>1686.32</v>
      </c>
      <c r="G7" t="n">
        <v>56970.66</v>
      </c>
      <c r="H7" t="n">
        <v>1524264655.42</v>
      </c>
      <c r="I7" t="inlineStr">
        <is>
          <t>meme</t>
        </is>
      </c>
      <c r="J7" t="inlineStr">
        <is>
          <t>Small</t>
        </is>
      </c>
      <c r="K7" t="inlineStr">
        <is>
          <t>STRONG_BUY</t>
        </is>
      </c>
      <c r="L7" t="n">
        <v>100</v>
      </c>
      <c r="M7" t="n">
        <v>191449.6</v>
      </c>
      <c r="N7" t="n">
        <v>0</v>
      </c>
      <c r="O7" t="n">
        <v>100</v>
      </c>
      <c r="P7" t="n">
        <v>191400.19</v>
      </c>
      <c r="Q7" t="n">
        <v>8.800000000000001</v>
      </c>
    </row>
    <row r="8">
      <c r="A8" t="inlineStr">
        <is>
          <t>APES</t>
        </is>
      </c>
      <c r="B8" t="inlineStr">
        <is>
          <t>APES</t>
        </is>
      </c>
      <c r="C8" t="n">
        <v>0.006916</v>
      </c>
      <c r="D8" t="n">
        <v>6916416.46</v>
      </c>
      <c r="E8" t="n">
        <v>11214.21</v>
      </c>
      <c r="F8" t="n">
        <v>2943.12</v>
      </c>
      <c r="G8" t="n">
        <v>39134.29</v>
      </c>
      <c r="H8" t="n">
        <v>22289.22</v>
      </c>
      <c r="I8" t="inlineStr">
        <is>
          <t>crypto</t>
        </is>
      </c>
      <c r="J8" t="inlineStr">
        <is>
          <t>Small</t>
        </is>
      </c>
      <c r="K8" t="inlineStr">
        <is>
          <t>STRONG_BUY</t>
        </is>
      </c>
      <c r="L8" t="n">
        <v>100</v>
      </c>
      <c r="M8" t="n">
        <v>135026.36</v>
      </c>
      <c r="N8" t="n">
        <v>0.01</v>
      </c>
      <c r="O8" t="n">
        <v>16.21</v>
      </c>
      <c r="P8" t="n">
        <v>134995.82</v>
      </c>
      <c r="Q8" t="n">
        <v>3.77</v>
      </c>
    </row>
    <row r="9">
      <c r="A9" t="inlineStr">
        <is>
          <t>MAGA</t>
        </is>
      </c>
      <c r="B9" t="inlineStr">
        <is>
          <t>PEOPLE</t>
        </is>
      </c>
      <c r="C9" t="n">
        <v>3.06652</v>
      </c>
      <c r="D9" t="n">
        <v>0</v>
      </c>
      <c r="E9" t="n">
        <v>127865.8</v>
      </c>
      <c r="F9" t="n">
        <v>1888.59</v>
      </c>
      <c r="G9" t="n">
        <v>32156.78</v>
      </c>
      <c r="H9" t="n">
        <v>6943154.48</v>
      </c>
      <c r="I9" t="inlineStr">
        <is>
          <t>meme</t>
        </is>
      </c>
      <c r="J9" t="inlineStr">
        <is>
          <t>Small</t>
        </is>
      </c>
      <c r="K9" t="inlineStr">
        <is>
          <t>STRONG_BUY</t>
        </is>
      </c>
      <c r="L9" t="n">
        <v>100</v>
      </c>
      <c r="M9" t="n">
        <v>109938.32</v>
      </c>
      <c r="N9" t="n">
        <v>0.01</v>
      </c>
      <c r="O9" t="n">
        <v>100</v>
      </c>
      <c r="P9" t="n">
        <v>109888.92</v>
      </c>
      <c r="Q9" t="n">
        <v>8.800000000000001</v>
      </c>
    </row>
    <row r="10">
      <c r="A10" t="inlineStr">
        <is>
          <t>GameStop Coin</t>
        </is>
      </c>
      <c r="B10" t="inlineStr">
        <is>
          <t>GME</t>
        </is>
      </c>
      <c r="C10" t="n">
        <v>432.054755</v>
      </c>
      <c r="D10" t="n">
        <v>0</v>
      </c>
      <c r="E10" t="n">
        <v>220782.07</v>
      </c>
      <c r="F10" t="n">
        <v>1249.68</v>
      </c>
      <c r="G10" t="n">
        <v>28589</v>
      </c>
      <c r="H10" t="n">
        <v>51214169.02</v>
      </c>
      <c r="I10" t="inlineStr">
        <is>
          <t>meme</t>
        </is>
      </c>
      <c r="J10" t="inlineStr">
        <is>
          <t>Small</t>
        </is>
      </c>
      <c r="K10" t="inlineStr">
        <is>
          <t>STRONG_BUY</t>
        </is>
      </c>
      <c r="L10" t="n">
        <v>100</v>
      </c>
      <c r="M10" t="n">
        <v>79308.64</v>
      </c>
      <c r="N10" t="n">
        <v>0.01</v>
      </c>
      <c r="O10" t="n">
        <v>100</v>
      </c>
      <c r="P10" t="n">
        <v>79259.24000000001</v>
      </c>
      <c r="Q10" t="n">
        <v>8.800000000000001</v>
      </c>
    </row>
    <row r="11">
      <c r="A11" t="inlineStr">
        <is>
          <t>Wojak (wojaketh)</t>
        </is>
      </c>
      <c r="B11" t="inlineStr">
        <is>
          <t>WOJAK</t>
        </is>
      </c>
      <c r="C11" t="n">
        <v>3e-05</v>
      </c>
      <c r="D11" t="n">
        <v>2069284.21</v>
      </c>
      <c r="E11" t="n">
        <v>7619460.23</v>
      </c>
      <c r="F11" t="n">
        <v>-29.42</v>
      </c>
      <c r="G11" t="n">
        <v>18009.74</v>
      </c>
      <c r="H11" t="n">
        <v>-77.78</v>
      </c>
      <c r="I11" t="inlineStr">
        <is>
          <t>meme</t>
        </is>
      </c>
      <c r="J11" t="inlineStr">
        <is>
          <t>Small</t>
        </is>
      </c>
      <c r="K11" t="inlineStr">
        <is>
          <t>STRONG_BUY</t>
        </is>
      </c>
      <c r="L11" t="n">
        <v>100</v>
      </c>
      <c r="M11" t="n">
        <v>59428.68</v>
      </c>
      <c r="N11" t="n">
        <v>0.01</v>
      </c>
      <c r="O11" t="n">
        <v>100</v>
      </c>
      <c r="P11" t="n">
        <v>59379.28</v>
      </c>
      <c r="Q11" t="n">
        <v>8.800000000000001</v>
      </c>
    </row>
    <row r="12">
      <c r="A12" t="inlineStr">
        <is>
          <t>KnockOut Games</t>
        </is>
      </c>
      <c r="B12" t="inlineStr">
        <is>
          <t>GG</t>
        </is>
      </c>
      <c r="C12" t="n">
        <v>0.002805</v>
      </c>
      <c r="D12" t="n">
        <v>2805005.07</v>
      </c>
      <c r="E12" t="n">
        <v>0</v>
      </c>
      <c r="F12" t="n">
        <v>-4.49</v>
      </c>
      <c r="G12" t="n">
        <v>21027.85</v>
      </c>
      <c r="H12" t="n">
        <v>16.07</v>
      </c>
      <c r="I12" t="inlineStr">
        <is>
          <t>crypto</t>
        </is>
      </c>
      <c r="J12" t="inlineStr">
        <is>
          <t>Small</t>
        </is>
      </c>
      <c r="K12" t="inlineStr">
        <is>
          <t>BUY</t>
        </is>
      </c>
      <c r="L12" t="n">
        <v>100</v>
      </c>
      <c r="M12" t="n">
        <v>56794.05</v>
      </c>
      <c r="N12" t="n">
        <v>0.01</v>
      </c>
      <c r="O12" t="n">
        <v>0</v>
      </c>
      <c r="P12" t="n">
        <v>56780.65</v>
      </c>
      <c r="Q12" t="n">
        <v>2.8</v>
      </c>
    </row>
    <row r="13">
      <c r="A13" t="inlineStr">
        <is>
          <t>NOT</t>
        </is>
      </c>
      <c r="B13" t="inlineStr">
        <is>
          <t>CAT</t>
        </is>
      </c>
      <c r="C13" t="n">
        <v>15780.574668</v>
      </c>
      <c r="D13" t="n">
        <v>0</v>
      </c>
      <c r="E13" t="n">
        <v>212089.9</v>
      </c>
      <c r="F13" t="n">
        <v>1416.07</v>
      </c>
      <c r="G13" t="n">
        <v>11030.54</v>
      </c>
      <c r="H13" t="n">
        <v>13937645.99</v>
      </c>
      <c r="I13" t="inlineStr">
        <is>
          <t>meme</t>
        </is>
      </c>
      <c r="J13" t="inlineStr">
        <is>
          <t>Small</t>
        </is>
      </c>
      <c r="K13" t="inlineStr">
        <is>
          <t>STRONG_BUY</t>
        </is>
      </c>
      <c r="L13" t="n">
        <v>100</v>
      </c>
      <c r="M13" t="n">
        <v>39315.02</v>
      </c>
      <c r="N13" t="n">
        <v>0.02</v>
      </c>
      <c r="O13" t="n">
        <v>100</v>
      </c>
      <c r="P13" t="n">
        <v>39265.62</v>
      </c>
      <c r="Q13" t="n">
        <v>8.800000000000001</v>
      </c>
    </row>
    <row r="14">
      <c r="A14" t="inlineStr">
        <is>
          <t>Matr1x</t>
        </is>
      </c>
      <c r="B14" t="inlineStr">
        <is>
          <t>MAX</t>
        </is>
      </c>
      <c r="C14" t="n">
        <v>0.035309</v>
      </c>
      <c r="D14" t="n">
        <v>4608580.51</v>
      </c>
      <c r="E14" t="n">
        <v>8363.379999999999</v>
      </c>
      <c r="F14" t="n">
        <v>185.42</v>
      </c>
      <c r="G14" t="n">
        <v>8264.629999999999</v>
      </c>
      <c r="H14" t="n">
        <v>60.18</v>
      </c>
      <c r="I14" t="inlineStr">
        <is>
          <t>crypto</t>
        </is>
      </c>
      <c r="J14" t="inlineStr">
        <is>
          <t>Small</t>
        </is>
      </c>
      <c r="K14" t="inlineStr">
        <is>
          <t>STRONG_BUY</t>
        </is>
      </c>
      <c r="L14" t="n">
        <v>100</v>
      </c>
      <c r="M14" t="n">
        <v>27663.61</v>
      </c>
      <c r="N14" t="n">
        <v>0.03</v>
      </c>
      <c r="O14" t="n">
        <v>18.15</v>
      </c>
      <c r="P14" t="n">
        <v>27632.52</v>
      </c>
      <c r="Q14" t="n">
        <v>3.89</v>
      </c>
    </row>
    <row r="15">
      <c r="A15" t="inlineStr">
        <is>
          <t>The Game Company</t>
        </is>
      </c>
      <c r="B15" t="inlineStr">
        <is>
          <t>GMRT</t>
        </is>
      </c>
      <c r="C15" t="n">
        <v>0.018766</v>
      </c>
      <c r="D15" t="n">
        <v>6080615.89</v>
      </c>
      <c r="E15" t="n">
        <v>10448.49</v>
      </c>
      <c r="F15" t="n">
        <v>5601.68</v>
      </c>
      <c r="G15" t="n">
        <v>4004.41</v>
      </c>
      <c r="H15" t="n">
        <v>1543.99</v>
      </c>
      <c r="I15" t="inlineStr">
        <is>
          <t>crypto</t>
        </is>
      </c>
      <c r="J15" t="inlineStr">
        <is>
          <t>Small</t>
        </is>
      </c>
      <c r="K15" t="inlineStr">
        <is>
          <t>STRONG_BUY</t>
        </is>
      </c>
      <c r="L15" t="n">
        <v>100</v>
      </c>
      <c r="M15" t="n">
        <v>19978.37</v>
      </c>
      <c r="N15" t="n">
        <v>0.04</v>
      </c>
      <c r="O15" t="n">
        <v>17.18</v>
      </c>
      <c r="P15" t="n">
        <v>19947.55</v>
      </c>
      <c r="Q15" t="n">
        <v>3.84</v>
      </c>
    </row>
    <row r="16">
      <c r="A16" t="inlineStr">
        <is>
          <t>Opus Genesis</t>
        </is>
      </c>
      <c r="B16" t="inlineStr">
        <is>
          <t>OPUS</t>
        </is>
      </c>
      <c r="C16" t="n">
        <v>0.002983</v>
      </c>
      <c r="D16" t="n">
        <v>2983275.95</v>
      </c>
      <c r="E16" t="n">
        <v>2693.34</v>
      </c>
      <c r="F16" t="n">
        <v>-0.7</v>
      </c>
      <c r="G16" t="n">
        <v>7012.89</v>
      </c>
      <c r="H16" t="n">
        <v>-64.56</v>
      </c>
      <c r="I16" t="inlineStr">
        <is>
          <t>crypto</t>
        </is>
      </c>
      <c r="J16" t="inlineStr">
        <is>
          <t>Small</t>
        </is>
      </c>
      <c r="K16" t="inlineStr">
        <is>
          <t>STRONG_BUY</t>
        </is>
      </c>
      <c r="L16" t="n">
        <v>100</v>
      </c>
      <c r="M16" t="n">
        <v>18974.49</v>
      </c>
      <c r="N16" t="n">
        <v>0.03</v>
      </c>
      <c r="O16" t="n">
        <v>9.029999999999999</v>
      </c>
      <c r="P16" t="n">
        <v>18946.46</v>
      </c>
      <c r="Q16" t="n">
        <v>3.34</v>
      </c>
    </row>
    <row r="17">
      <c r="A17" t="inlineStr">
        <is>
          <t>NULS</t>
        </is>
      </c>
      <c r="B17" t="inlineStr">
        <is>
          <t>NULS</t>
        </is>
      </c>
      <c r="C17" t="n">
        <v>0.003598</v>
      </c>
      <c r="D17" t="n">
        <v>411065.78</v>
      </c>
      <c r="E17" t="n">
        <v>0</v>
      </c>
      <c r="F17" t="n">
        <v>6128.04</v>
      </c>
      <c r="G17" t="n">
        <v>277.07</v>
      </c>
      <c r="H17" t="n">
        <v>-23.31</v>
      </c>
      <c r="I17" t="inlineStr">
        <is>
          <t>crypto</t>
        </is>
      </c>
      <c r="J17" t="inlineStr">
        <is>
          <t>Small</t>
        </is>
      </c>
      <c r="K17" t="inlineStr">
        <is>
          <t>BUY</t>
        </is>
      </c>
      <c r="L17" t="n">
        <v>100</v>
      </c>
      <c r="M17" t="n">
        <v>10709.21</v>
      </c>
      <c r="N17" t="n">
        <v>0.04</v>
      </c>
      <c r="O17" t="n">
        <v>0</v>
      </c>
      <c r="P17" t="n">
        <v>10695.81</v>
      </c>
      <c r="Q17" t="n">
        <v>2.8</v>
      </c>
    </row>
    <row r="18">
      <c r="A18" t="inlineStr">
        <is>
          <t>XenBitcoin</t>
        </is>
      </c>
      <c r="B18" t="inlineStr">
        <is>
          <t>XBTC</t>
        </is>
      </c>
      <c r="C18" t="n">
        <v>69329.83220200001</v>
      </c>
      <c r="D18" t="n">
        <v>0</v>
      </c>
      <c r="E18" t="n">
        <v>707697.5600000001</v>
      </c>
      <c r="F18" t="n">
        <v>2527.72</v>
      </c>
      <c r="G18" t="n">
        <v>1865.15</v>
      </c>
      <c r="H18" t="n">
        <v>49460.53</v>
      </c>
      <c r="I18" t="inlineStr">
        <is>
          <t>crypto</t>
        </is>
      </c>
      <c r="J18" t="inlineStr">
        <is>
          <t>Small</t>
        </is>
      </c>
      <c r="K18" t="inlineStr">
        <is>
          <t>STRONG_BUY</t>
        </is>
      </c>
      <c r="L18" t="n">
        <v>100</v>
      </c>
      <c r="M18" t="n">
        <v>9211.17</v>
      </c>
      <c r="N18" t="n">
        <v>0.09</v>
      </c>
      <c r="O18" t="n">
        <v>100</v>
      </c>
      <c r="P18" t="n">
        <v>9161.76</v>
      </c>
      <c r="Q18" t="n">
        <v>8.81</v>
      </c>
    </row>
    <row r="19">
      <c r="A19" t="inlineStr">
        <is>
          <t>Groestlcoin</t>
        </is>
      </c>
      <c r="B19" t="inlineStr">
        <is>
          <t>GRS</t>
        </is>
      </c>
      <c r="C19" t="n">
        <v>0.091642</v>
      </c>
      <c r="D19" t="n">
        <v>8194803.6</v>
      </c>
      <c r="E19" t="n">
        <v>0.15</v>
      </c>
      <c r="F19" t="n">
        <v>1247.26</v>
      </c>
      <c r="G19" t="n">
        <v>1247.26</v>
      </c>
      <c r="H19" t="n">
        <v>-34.29</v>
      </c>
      <c r="I19" t="inlineStr">
        <is>
          <t>crypto</t>
        </is>
      </c>
      <c r="J19" t="inlineStr">
        <is>
          <t>Small</t>
        </is>
      </c>
      <c r="K19" t="inlineStr">
        <is>
          <t>BUY</t>
        </is>
      </c>
      <c r="L19" t="n">
        <v>100</v>
      </c>
      <c r="M19" t="n">
        <v>5433.92</v>
      </c>
      <c r="N19" t="n">
        <v>0.17</v>
      </c>
      <c r="O19" t="n">
        <v>0</v>
      </c>
      <c r="P19" t="n">
        <v>5420.5</v>
      </c>
      <c r="Q19" t="n">
        <v>2.82</v>
      </c>
    </row>
    <row r="20">
      <c r="A20" t="inlineStr">
        <is>
          <t>PEPE</t>
        </is>
      </c>
      <c r="B20" t="inlineStr">
        <is>
          <t>TRUMP</t>
        </is>
      </c>
      <c r="C20" t="n">
        <v>0.000118</v>
      </c>
      <c r="D20" t="n">
        <v>0</v>
      </c>
      <c r="E20" t="n">
        <v>199976.9</v>
      </c>
      <c r="F20" t="n">
        <v>1047.6</v>
      </c>
      <c r="G20" t="n">
        <v>842.0599999999999</v>
      </c>
      <c r="H20" t="n">
        <v>322.35</v>
      </c>
      <c r="I20" t="inlineStr">
        <is>
          <t>meme</t>
        </is>
      </c>
      <c r="J20" t="inlineStr">
        <is>
          <t>Small</t>
        </is>
      </c>
      <c r="K20" t="inlineStr">
        <is>
          <t>STRONG_BUY</t>
        </is>
      </c>
      <c r="L20" t="n">
        <v>100</v>
      </c>
      <c r="M20" t="n">
        <v>4085.38</v>
      </c>
      <c r="N20" t="n">
        <v>0.23</v>
      </c>
      <c r="O20" t="n">
        <v>100</v>
      </c>
      <c r="P20" t="n">
        <v>4035.96</v>
      </c>
      <c r="Q20" t="n">
        <v>8.82</v>
      </c>
    </row>
    <row r="21">
      <c r="A21" t="inlineStr">
        <is>
          <t>TRUMP AI</t>
        </is>
      </c>
      <c r="B21" t="inlineStr">
        <is>
          <t>TRUMP</t>
        </is>
      </c>
      <c r="C21" t="n">
        <v>53.669468</v>
      </c>
      <c r="D21" t="n">
        <v>0</v>
      </c>
      <c r="E21" t="n">
        <v>290142.11</v>
      </c>
      <c r="F21" t="n">
        <v>1124.93</v>
      </c>
      <c r="G21" t="n">
        <v>381.23</v>
      </c>
      <c r="H21" t="n">
        <v>675075.75</v>
      </c>
      <c r="I21" t="inlineStr">
        <is>
          <t>meme</t>
        </is>
      </c>
      <c r="J21" t="inlineStr">
        <is>
          <t>Small</t>
        </is>
      </c>
      <c r="K21" t="inlineStr">
        <is>
          <t>STRONG_BUY</t>
        </is>
      </c>
      <c r="L21" t="n">
        <v>100</v>
      </c>
      <c r="M21" t="n">
        <v>3554.91</v>
      </c>
      <c r="N21" t="n">
        <v>0.21</v>
      </c>
      <c r="O21" t="n">
        <v>100</v>
      </c>
      <c r="P21" t="n">
        <v>3505.49</v>
      </c>
      <c r="Q21" t="n">
        <v>8.82</v>
      </c>
    </row>
    <row r="22">
      <c r="A22" t="inlineStr">
        <is>
          <t>Robinhood</t>
        </is>
      </c>
      <c r="B22" t="inlineStr">
        <is>
          <t>HOOD</t>
        </is>
      </c>
      <c r="C22" t="n">
        <v>0.000359</v>
      </c>
      <c r="D22" t="n">
        <v>0</v>
      </c>
      <c r="E22" t="n">
        <v>22598.76</v>
      </c>
      <c r="F22" t="n">
        <v>-16.57</v>
      </c>
      <c r="G22" t="n">
        <v>-99.64</v>
      </c>
      <c r="H22" t="n">
        <v>-43.51</v>
      </c>
      <c r="I22" t="inlineStr">
        <is>
          <t>crypto</t>
        </is>
      </c>
      <c r="J22" t="inlineStr">
        <is>
          <t>Small</t>
        </is>
      </c>
      <c r="K22" t="inlineStr">
        <is>
          <t>BUY</t>
        </is>
      </c>
      <c r="L22" t="n">
        <v>100</v>
      </c>
      <c r="M22" t="n">
        <v>3199.07</v>
      </c>
      <c r="N22" t="n">
        <v>0.07000000000000001</v>
      </c>
      <c r="O22" t="n">
        <v>100</v>
      </c>
      <c r="P22" t="n">
        <v>3149.66</v>
      </c>
      <c r="Q22" t="n">
        <v>8.81</v>
      </c>
    </row>
    <row r="23">
      <c r="A23" t="inlineStr">
        <is>
          <t>I love puppies</t>
        </is>
      </c>
      <c r="B23" t="inlineStr">
        <is>
          <t>PUPPIES</t>
        </is>
      </c>
      <c r="C23" t="n">
        <v>0</v>
      </c>
      <c r="D23" t="n">
        <v>0</v>
      </c>
      <c r="E23" t="n">
        <v>283093.03</v>
      </c>
      <c r="F23" t="n">
        <v>368.68</v>
      </c>
      <c r="G23" t="n">
        <v>697.37</v>
      </c>
      <c r="H23" t="n">
        <v>883.98</v>
      </c>
      <c r="I23" t="inlineStr">
        <is>
          <t>meme</t>
        </is>
      </c>
      <c r="J23" t="inlineStr">
        <is>
          <t>Small</t>
        </is>
      </c>
      <c r="K23" t="inlineStr">
        <is>
          <t>STRONG_BUY</t>
        </is>
      </c>
      <c r="L23" t="n">
        <v>100</v>
      </c>
      <c r="M23" t="n">
        <v>3109.69</v>
      </c>
      <c r="N23" t="n">
        <v>0.35</v>
      </c>
      <c r="O23" t="n">
        <v>100</v>
      </c>
      <c r="P23" t="n">
        <v>3060.25</v>
      </c>
      <c r="Q23" t="n">
        <v>8.83</v>
      </c>
    </row>
    <row r="24">
      <c r="A24" t="inlineStr">
        <is>
          <t>Ondo DeFAI</t>
        </is>
      </c>
      <c r="B24" t="inlineStr">
        <is>
          <t>ONDOAI</t>
        </is>
      </c>
      <c r="C24" t="n">
        <v>0.00016</v>
      </c>
      <c r="D24" t="n">
        <v>159920.93</v>
      </c>
      <c r="E24" t="n">
        <v>161.6</v>
      </c>
      <c r="F24" t="n">
        <v>700.66</v>
      </c>
      <c r="G24" t="n">
        <v>700.6900000000001</v>
      </c>
      <c r="H24" t="n">
        <v>399.71</v>
      </c>
      <c r="I24" t="inlineStr">
        <is>
          <t>crypto</t>
        </is>
      </c>
      <c r="J24" t="inlineStr">
        <is>
          <t>Small</t>
        </is>
      </c>
      <c r="K24" t="inlineStr">
        <is>
          <t>STRONG_BUY</t>
        </is>
      </c>
      <c r="L24" t="n">
        <v>100</v>
      </c>
      <c r="M24" t="n">
        <v>3087.71</v>
      </c>
      <c r="N24" t="n">
        <v>0.3</v>
      </c>
      <c r="O24" t="n">
        <v>10.1</v>
      </c>
      <c r="P24" t="n">
        <v>3059.19</v>
      </c>
      <c r="Q24" t="n">
        <v>3.44</v>
      </c>
    </row>
    <row r="25">
      <c r="A25" t="inlineStr">
        <is>
          <t>PEPE AI (pepeai.one)</t>
        </is>
      </c>
      <c r="B25" t="inlineStr">
        <is>
          <t>PEPE</t>
        </is>
      </c>
      <c r="C25" t="n">
        <v>0.000532</v>
      </c>
      <c r="D25" t="n">
        <v>0</v>
      </c>
      <c r="E25" t="n">
        <v>250282.51</v>
      </c>
      <c r="F25" t="n">
        <v>798.74</v>
      </c>
      <c r="G25" t="n">
        <v>404.02</v>
      </c>
      <c r="H25" t="n">
        <v>-50.58</v>
      </c>
      <c r="I25" t="inlineStr">
        <is>
          <t>meme</t>
        </is>
      </c>
      <c r="J25" t="inlineStr">
        <is>
          <t>Small</t>
        </is>
      </c>
      <c r="K25" t="inlineStr">
        <is>
          <t>STRONG_BUY</t>
        </is>
      </c>
      <c r="L25" t="n">
        <v>100</v>
      </c>
      <c r="M25" t="n">
        <v>2998.15</v>
      </c>
      <c r="N25" t="n">
        <v>0.31</v>
      </c>
      <c r="O25" t="n">
        <v>100</v>
      </c>
      <c r="P25" t="n">
        <v>2948.71</v>
      </c>
      <c r="Q25" t="n">
        <v>8.83</v>
      </c>
    </row>
    <row r="26">
      <c r="A26" t="inlineStr">
        <is>
          <t>TRUMP MAGA</t>
        </is>
      </c>
      <c r="B26" t="inlineStr">
        <is>
          <t>MAGA</t>
        </is>
      </c>
      <c r="C26" t="n">
        <v>0.000508</v>
      </c>
      <c r="D26" t="n">
        <v>0</v>
      </c>
      <c r="E26" t="n">
        <v>142529.89</v>
      </c>
      <c r="F26" t="n">
        <v>306.14</v>
      </c>
      <c r="G26" t="n">
        <v>616.8200000000001</v>
      </c>
      <c r="H26" t="n">
        <v>64.89</v>
      </c>
      <c r="I26" t="inlineStr">
        <is>
          <t>meme</t>
        </is>
      </c>
      <c r="J26" t="inlineStr">
        <is>
          <t>Small</t>
        </is>
      </c>
      <c r="K26" t="inlineStr">
        <is>
          <t>STRONG_BUY</t>
        </is>
      </c>
      <c r="L26" t="n">
        <v>100</v>
      </c>
      <c r="M26" t="n">
        <v>2769.39</v>
      </c>
      <c r="N26" t="n">
        <v>0.42</v>
      </c>
      <c r="O26" t="n">
        <v>100</v>
      </c>
      <c r="P26" t="n">
        <v>2719.94</v>
      </c>
      <c r="Q26" t="n">
        <v>8.84</v>
      </c>
    </row>
    <row r="27">
      <c r="A27" t="inlineStr">
        <is>
          <t>Wolfies</t>
        </is>
      </c>
      <c r="B27" t="inlineStr">
        <is>
          <t>PACK</t>
        </is>
      </c>
      <c r="C27" t="n">
        <v>0.000193</v>
      </c>
      <c r="D27" t="n">
        <v>0</v>
      </c>
      <c r="E27" t="n">
        <v>61477.43</v>
      </c>
      <c r="F27" t="n">
        <v>-2.13</v>
      </c>
      <c r="G27" t="n">
        <v>909.24</v>
      </c>
      <c r="H27" t="n">
        <v>16.55</v>
      </c>
      <c r="I27" t="inlineStr">
        <is>
          <t>crypto</t>
        </is>
      </c>
      <c r="J27" t="inlineStr">
        <is>
          <t>Small</t>
        </is>
      </c>
      <c r="K27" t="inlineStr">
        <is>
          <t>STRONG_BUY</t>
        </is>
      </c>
      <c r="L27" t="n">
        <v>100</v>
      </c>
      <c r="M27" t="n">
        <v>2512.48</v>
      </c>
      <c r="N27" t="n">
        <v>0.23</v>
      </c>
      <c r="O27" t="n">
        <v>100</v>
      </c>
      <c r="P27" t="n">
        <v>2463.06</v>
      </c>
      <c r="Q27" t="n">
        <v>8.82</v>
      </c>
    </row>
    <row r="28">
      <c r="A28" t="inlineStr">
        <is>
          <t>Franklin</t>
        </is>
      </c>
      <c r="B28" t="inlineStr">
        <is>
          <t>FRANKLIN</t>
        </is>
      </c>
      <c r="C28" t="n">
        <v>0</v>
      </c>
      <c r="D28" t="n">
        <v>0</v>
      </c>
      <c r="E28" t="n">
        <v>56918.86</v>
      </c>
      <c r="F28" t="n">
        <v>100.95</v>
      </c>
      <c r="G28" t="n">
        <v>721.54</v>
      </c>
      <c r="H28" t="n">
        <v>1091.11</v>
      </c>
      <c r="I28" t="inlineStr">
        <is>
          <t>meme</t>
        </is>
      </c>
      <c r="J28" t="inlineStr">
        <is>
          <t>Small</t>
        </is>
      </c>
      <c r="K28" t="inlineStr">
        <is>
          <t>STRONG_BUY</t>
        </is>
      </c>
      <c r="L28" t="n">
        <v>100</v>
      </c>
      <c r="M28" t="n">
        <v>2166.58</v>
      </c>
      <c r="N28" t="n">
        <v>0.31</v>
      </c>
      <c r="O28" t="n">
        <v>100</v>
      </c>
      <c r="P28" t="n">
        <v>2117.14</v>
      </c>
      <c r="Q28" t="n">
        <v>8.83</v>
      </c>
    </row>
    <row r="29">
      <c r="A29" t="inlineStr">
        <is>
          <t>FARTCOIN (fartcoin.one)</t>
        </is>
      </c>
      <c r="B29" t="inlineStr">
        <is>
          <t>FARTCOIN</t>
        </is>
      </c>
      <c r="C29" t="n">
        <v>0.002028</v>
      </c>
      <c r="D29" t="n">
        <v>0</v>
      </c>
      <c r="E29" t="n">
        <v>759673.3199999999</v>
      </c>
      <c r="F29" t="n">
        <v>625.08</v>
      </c>
      <c r="G29" t="n">
        <v>181.79</v>
      </c>
      <c r="H29" t="n">
        <v>882.4</v>
      </c>
      <c r="I29" t="inlineStr">
        <is>
          <t>meme</t>
        </is>
      </c>
      <c r="J29" t="inlineStr">
        <is>
          <t>Small</t>
        </is>
      </c>
      <c r="K29" t="inlineStr">
        <is>
          <t>STRONG_BUY</t>
        </is>
      </c>
      <c r="L29" t="n">
        <v>100</v>
      </c>
      <c r="M29" t="n">
        <v>2076.78</v>
      </c>
      <c r="N29" t="n">
        <v>0.44</v>
      </c>
      <c r="O29" t="n">
        <v>100</v>
      </c>
      <c r="P29" t="n">
        <v>2027.33</v>
      </c>
      <c r="Q29" t="n">
        <v>8.84</v>
      </c>
    </row>
    <row r="30">
      <c r="A30" t="inlineStr">
        <is>
          <t>Doodipals</t>
        </is>
      </c>
      <c r="B30" t="inlineStr">
        <is>
          <t>DOODI</t>
        </is>
      </c>
      <c r="C30" t="n">
        <v>0.000211</v>
      </c>
      <c r="D30" t="n">
        <v>194970</v>
      </c>
      <c r="E30" t="n">
        <v>571763.87</v>
      </c>
      <c r="F30" t="n">
        <v>-20.37</v>
      </c>
      <c r="G30" t="n">
        <v>577.77</v>
      </c>
      <c r="H30" t="n">
        <v>601.59</v>
      </c>
      <c r="I30" t="inlineStr">
        <is>
          <t>crypto</t>
        </is>
      </c>
      <c r="J30" t="inlineStr">
        <is>
          <t>Small</t>
        </is>
      </c>
      <c r="K30" t="inlineStr">
        <is>
          <t>STRONG_BUY</t>
        </is>
      </c>
      <c r="L30" t="n">
        <v>100</v>
      </c>
      <c r="M30" t="n">
        <v>1904.36</v>
      </c>
      <c r="N30" t="n">
        <v>0.35</v>
      </c>
      <c r="O30" t="n">
        <v>100</v>
      </c>
      <c r="P30" t="n">
        <v>1854.92</v>
      </c>
      <c r="Q30" t="n">
        <v>8.84</v>
      </c>
    </row>
    <row r="31">
      <c r="A31" t="inlineStr">
        <is>
          <t>Synternet</t>
        </is>
      </c>
      <c r="B31" t="inlineStr">
        <is>
          <t>SYNT</t>
        </is>
      </c>
      <c r="C31" t="n">
        <v>0.00047</v>
      </c>
      <c r="D31" t="n">
        <v>307855.7</v>
      </c>
      <c r="E31" t="n">
        <v>3636.27</v>
      </c>
      <c r="F31" t="n">
        <v>-8.970000000000001</v>
      </c>
      <c r="G31" t="n">
        <v>663.48</v>
      </c>
      <c r="H31" t="n">
        <v>-62.18</v>
      </c>
      <c r="I31" t="inlineStr">
        <is>
          <t>crypto</t>
        </is>
      </c>
      <c r="J31" t="inlineStr">
        <is>
          <t>Small</t>
        </is>
      </c>
      <c r="K31" t="inlineStr">
        <is>
          <t>STRONG_BUY</t>
        </is>
      </c>
      <c r="L31" t="n">
        <v>100</v>
      </c>
      <c r="M31" t="n">
        <v>1838.65</v>
      </c>
      <c r="N31" t="n">
        <v>0.32</v>
      </c>
      <c r="O31" t="n">
        <v>100</v>
      </c>
      <c r="P31" t="n">
        <v>1789.39</v>
      </c>
      <c r="Q31" t="n">
        <v>8.83</v>
      </c>
    </row>
    <row r="32">
      <c r="A32" t="inlineStr">
        <is>
          <t>IRISnet</t>
        </is>
      </c>
      <c r="B32" t="inlineStr">
        <is>
          <t>IRIS</t>
        </is>
      </c>
      <c r="C32" t="n">
        <v>0.004988</v>
      </c>
      <c r="D32" t="n">
        <v>8146922.54</v>
      </c>
      <c r="E32" t="n">
        <v>110644.74</v>
      </c>
      <c r="F32" t="n">
        <v>837.74</v>
      </c>
      <c r="G32" t="n">
        <v>13.2</v>
      </c>
      <c r="H32" t="n">
        <v>441.82</v>
      </c>
      <c r="I32" t="inlineStr">
        <is>
          <t>crypto</t>
        </is>
      </c>
      <c r="J32" t="inlineStr">
        <is>
          <t>Small</t>
        </is>
      </c>
      <c r="K32" t="inlineStr">
        <is>
          <t>STRONG_BUY</t>
        </is>
      </c>
      <c r="L32" t="n">
        <v>100</v>
      </c>
      <c r="M32" t="n">
        <v>1772.53</v>
      </c>
      <c r="N32" t="n">
        <v>0.25</v>
      </c>
      <c r="O32" t="n">
        <v>100</v>
      </c>
      <c r="P32" t="n">
        <v>1723.25</v>
      </c>
      <c r="Q32" t="n">
        <v>8.83</v>
      </c>
    </row>
    <row r="33">
      <c r="A33" t="inlineStr">
        <is>
          <t>Book of Meme 3.0</t>
        </is>
      </c>
      <c r="B33" t="inlineStr">
        <is>
          <t>BOME</t>
        </is>
      </c>
      <c r="C33" t="n">
        <v>0</v>
      </c>
      <c r="D33" t="n">
        <v>0</v>
      </c>
      <c r="E33" t="n">
        <v>165039.49</v>
      </c>
      <c r="F33" t="n">
        <v>707.48</v>
      </c>
      <c r="G33" t="n">
        <v>88.02</v>
      </c>
      <c r="H33" t="n">
        <v>181.87</v>
      </c>
      <c r="I33" t="inlineStr">
        <is>
          <t>meme</t>
        </is>
      </c>
      <c r="J33" t="inlineStr">
        <is>
          <t>Small</t>
        </is>
      </c>
      <c r="K33" t="inlineStr">
        <is>
          <t>STRONG_BUY</t>
        </is>
      </c>
      <c r="L33" t="n">
        <v>100</v>
      </c>
      <c r="M33" t="n">
        <v>1558.99</v>
      </c>
      <c r="N33" t="n">
        <v>0.34</v>
      </c>
      <c r="O33" t="n">
        <v>100</v>
      </c>
      <c r="P33" t="n">
        <v>1509.56</v>
      </c>
      <c r="Q33" t="n">
        <v>8.83</v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5" max="5"/>
    <col width="18" customWidth="1" min="6" max="6"/>
    <col width="18" customWidth="1" min="7" max="7"/>
    <col width="18" customWidth="1" min="9" max="9"/>
    <col width="18" customWidth="1" min="10" max="10"/>
  </cols>
  <sheetData>
    <row r="1">
      <c r="A1" s="3" t="inlineStr">
        <is>
          <t>SIGNAL REFERENCE TABLE</t>
        </is>
      </c>
      <c r="E1" s="3" t="inlineStr">
        <is>
          <t>RISK LEVEL TABLE</t>
        </is>
      </c>
      <c r="I1" s="3" t="inlineStr">
        <is>
          <t>CATEGORY REFERENCE</t>
        </is>
      </c>
    </row>
    <row r="3">
      <c r="A3" s="4" t="inlineStr">
        <is>
          <t>Signal</t>
        </is>
      </c>
      <c r="B3" s="4" t="inlineStr">
        <is>
          <t>Interpretation</t>
        </is>
      </c>
      <c r="C3" s="4" t="inlineStr">
        <is>
          <t>ActionCode</t>
        </is>
      </c>
      <c r="E3" s="5" t="inlineStr">
        <is>
          <t>MinRisk</t>
        </is>
      </c>
      <c r="F3" s="5" t="inlineStr">
        <is>
          <t>MaxRisk</t>
        </is>
      </c>
      <c r="G3" s="5" t="inlineStr">
        <is>
          <t>RiskLevel</t>
        </is>
      </c>
      <c r="I3" s="6" t="inlineStr">
        <is>
          <t>Category</t>
        </is>
      </c>
      <c r="J3" s="6" t="inlineStr">
        <is>
          <t>Description</t>
        </is>
      </c>
    </row>
    <row r="4">
      <c r="A4" t="inlineStr">
        <is>
          <t>STRONG_BUY</t>
        </is>
      </c>
      <c r="B4" t="inlineStr">
        <is>
          <t>Very bullish - High confidence buy</t>
        </is>
      </c>
      <c r="C4" t="n">
        <v>5</v>
      </c>
      <c r="E4" t="n">
        <v>0</v>
      </c>
      <c r="F4" t="n">
        <v>0.5</v>
      </c>
      <c r="G4" t="inlineStr">
        <is>
          <t>Low Risk</t>
        </is>
      </c>
      <c r="I4" t="inlineStr">
        <is>
          <t>Large</t>
        </is>
      </c>
      <c r="J4" t="inlineStr">
        <is>
          <t>High market cap coins</t>
        </is>
      </c>
    </row>
    <row r="5">
      <c r="A5" t="inlineStr">
        <is>
          <t>BUY</t>
        </is>
      </c>
      <c r="B5" t="inlineStr">
        <is>
          <t>Bullish - Consider buying</t>
        </is>
      </c>
      <c r="C5" t="n">
        <v>4</v>
      </c>
      <c r="E5" t="n">
        <v>0.5</v>
      </c>
      <c r="F5" t="n">
        <v>2</v>
      </c>
      <c r="G5" t="inlineStr">
        <is>
          <t>Medium Risk</t>
        </is>
      </c>
      <c r="I5" t="inlineStr">
        <is>
          <t>Medium</t>
        </is>
      </c>
      <c r="J5" t="inlineStr">
        <is>
          <t>Mid-sized market cap</t>
        </is>
      </c>
    </row>
    <row r="6">
      <c r="A6" t="inlineStr">
        <is>
          <t>NEUTRAL</t>
        </is>
      </c>
      <c r="B6" t="inlineStr">
        <is>
          <t>Hold position - Wait for signals</t>
        </is>
      </c>
      <c r="C6" t="n">
        <v>3</v>
      </c>
      <c r="E6" t="n">
        <v>2</v>
      </c>
      <c r="F6" t="n">
        <v>100</v>
      </c>
      <c r="G6" t="inlineStr">
        <is>
          <t>High Risk</t>
        </is>
      </c>
      <c r="I6" t="inlineStr">
        <is>
          <t>Small</t>
        </is>
      </c>
      <c r="J6" t="inlineStr">
        <is>
          <t>Low market cap - Higher risk</t>
        </is>
      </c>
    </row>
    <row r="7">
      <c r="A7" t="inlineStr">
        <is>
          <t>SELL</t>
        </is>
      </c>
      <c r="B7" t="inlineStr">
        <is>
          <t>Bearish - Consider selling</t>
        </is>
      </c>
      <c r="C7" t="n">
        <v>2</v>
      </c>
      <c r="I7" t="inlineStr">
        <is>
          <t>Micro</t>
        </is>
      </c>
      <c r="J7" t="inlineStr">
        <is>
          <t>Very small - Speculative</t>
        </is>
      </c>
    </row>
    <row r="8">
      <c r="A8" t="inlineStr">
        <is>
          <t>STRONG_SELL</t>
        </is>
      </c>
      <c r="B8" t="inlineStr">
        <is>
          <t>Very bearish - High confidence sell</t>
        </is>
      </c>
      <c r="C8" t="n">
        <v>1</v>
      </c>
    </row>
  </sheetData>
  <mergeCells count="2">
    <mergeCell ref="A1:C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7" max="7"/>
    <col width="18" customWidth="1" min="8" max="8"/>
    <col width="18" customWidth="1" min="9" max="9"/>
  </cols>
  <sheetData>
    <row r="1">
      <c r="A1" s="1" t="inlineStr">
        <is>
          <t>EXCEL FORMULAS DEMONSTRATION</t>
        </is>
      </c>
    </row>
    <row r="3">
      <c r="A3" s="7" t="inlineStr">
        <is>
          <t>Symbol</t>
        </is>
      </c>
      <c r="B3" s="7" t="inlineStr">
        <is>
          <t>Price</t>
        </is>
      </c>
      <c r="C3" s="7" t="inlineStr">
        <is>
          <t>OverallScore</t>
        </is>
      </c>
      <c r="D3" s="7" t="inlineStr">
        <is>
          <t>Signal</t>
        </is>
      </c>
      <c r="E3" s="7" t="inlineStr">
        <is>
          <t>VolatilityRisk</t>
        </is>
      </c>
      <c r="G3" s="8" t="inlineStr">
        <is>
          <t>FORMULA EXAMPLES</t>
        </is>
      </c>
    </row>
    <row r="4">
      <c r="A4" t="inlineStr">
        <is>
          <t>MCH</t>
        </is>
      </c>
      <c r="B4" t="n">
        <v>0.018842</v>
      </c>
      <c r="C4" t="n">
        <v>672822.24</v>
      </c>
      <c r="D4" t="inlineStr">
        <is>
          <t>STRONG_BUY</t>
        </is>
      </c>
      <c r="E4" t="n">
        <v>0</v>
      </c>
    </row>
    <row r="5">
      <c r="A5" t="inlineStr">
        <is>
          <t>SMILEK</t>
        </is>
      </c>
      <c r="B5" t="n">
        <v>1.2e-05</v>
      </c>
      <c r="C5" t="n">
        <v>535945.87</v>
      </c>
      <c r="D5" t="inlineStr">
        <is>
          <t>STRONG_BUY</t>
        </is>
      </c>
      <c r="E5" t="n">
        <v>0</v>
      </c>
      <c r="G5" s="9" t="inlineStr">
        <is>
          <t>SUM (Total Score):</t>
        </is>
      </c>
      <c r="H5">
        <f>SUM(C4:C18)</f>
        <v/>
      </c>
    </row>
    <row r="6">
      <c r="A6" t="inlineStr">
        <is>
          <t>DOKY</t>
        </is>
      </c>
      <c r="B6" t="n">
        <v>0.001699</v>
      </c>
      <c r="C6" t="n">
        <v>501526.55</v>
      </c>
      <c r="D6" t="inlineStr">
        <is>
          <t>BUY</t>
        </is>
      </c>
      <c r="E6" t="n">
        <v>0</v>
      </c>
      <c r="G6" s="9" t="inlineStr">
        <is>
          <t>AVERAGE (Avg Score):</t>
        </is>
      </c>
      <c r="H6">
        <f>AVERAGE(C4:C18)</f>
        <v/>
      </c>
    </row>
    <row r="7">
      <c r="A7" t="inlineStr">
        <is>
          <t>BEER</t>
        </is>
      </c>
      <c r="B7" t="n">
        <v>285832.660071</v>
      </c>
      <c r="C7" t="n">
        <v>191449.6</v>
      </c>
      <c r="D7" t="inlineStr">
        <is>
          <t>STRONG_BUY</t>
        </is>
      </c>
      <c r="E7" t="n">
        <v>0</v>
      </c>
      <c r="G7" s="9" t="inlineStr">
        <is>
          <t>MAX (Highest Score):</t>
        </is>
      </c>
      <c r="H7">
        <f>MAX(C4:C18)</f>
        <v/>
      </c>
    </row>
    <row r="8">
      <c r="A8" t="inlineStr">
        <is>
          <t>APES</t>
        </is>
      </c>
      <c r="B8" t="n">
        <v>0.006916</v>
      </c>
      <c r="C8" t="n">
        <v>135026.36</v>
      </c>
      <c r="D8" t="inlineStr">
        <is>
          <t>STRONG_BUY</t>
        </is>
      </c>
      <c r="E8" t="n">
        <v>0.01</v>
      </c>
      <c r="G8" s="9" t="inlineStr">
        <is>
          <t>MIN (Lowest Score):</t>
        </is>
      </c>
      <c r="H8">
        <f>MIN(C4:C18)</f>
        <v/>
      </c>
    </row>
    <row r="9">
      <c r="A9" t="inlineStr">
        <is>
          <t>PEOPLE</t>
        </is>
      </c>
      <c r="B9" t="n">
        <v>3.06652</v>
      </c>
      <c r="C9" t="n">
        <v>109938.32</v>
      </c>
      <c r="D9" t="inlineStr">
        <is>
          <t>STRONG_BUY</t>
        </is>
      </c>
      <c r="E9" t="n">
        <v>0.01</v>
      </c>
      <c r="G9" s="9" t="inlineStr">
        <is>
          <t>COUNT (Total Coins):</t>
        </is>
      </c>
      <c r="H9">
        <f>COUNT(C4:C18)</f>
        <v/>
      </c>
    </row>
    <row r="10">
      <c r="A10" t="inlineStr">
        <is>
          <t>GME</t>
        </is>
      </c>
      <c r="B10" t="n">
        <v>432.054755</v>
      </c>
      <c r="C10" t="n">
        <v>79308.64</v>
      </c>
      <c r="D10" t="inlineStr">
        <is>
          <t>STRONG_BUY</t>
        </is>
      </c>
      <c r="E10" t="n">
        <v>0.01</v>
      </c>
      <c r="G10" s="9" t="inlineStr">
        <is>
          <t>COUNTIF (BUY Signals):</t>
        </is>
      </c>
      <c r="H10">
        <f>COUNTIF(D4:D18,"*BUY*")</f>
        <v/>
      </c>
    </row>
    <row r="11">
      <c r="A11" t="inlineStr">
        <is>
          <t>WOJAK</t>
        </is>
      </c>
      <c r="B11" t="n">
        <v>3e-05</v>
      </c>
      <c r="C11" t="n">
        <v>59428.68</v>
      </c>
      <c r="D11" t="inlineStr">
        <is>
          <t>STRONG_BUY</t>
        </is>
      </c>
      <c r="E11" t="n">
        <v>0.01</v>
      </c>
      <c r="G11" s="9" t="inlineStr">
        <is>
          <t>SUMIF (Score if BUY):</t>
        </is>
      </c>
      <c r="H11">
        <f>SUMIF(D4:D18,"*BUY*",C4:C18)</f>
        <v/>
      </c>
    </row>
    <row r="12">
      <c r="A12" t="inlineStr">
        <is>
          <t>GG</t>
        </is>
      </c>
      <c r="B12" t="n">
        <v>0.002805</v>
      </c>
      <c r="C12" t="n">
        <v>56794.05</v>
      </c>
      <c r="D12" t="inlineStr">
        <is>
          <t>BUY</t>
        </is>
      </c>
      <c r="E12" t="n">
        <v>0.01</v>
      </c>
      <c r="G12" s="9" t="inlineStr">
        <is>
          <t>AVERAGEIF (Avg if BUY):</t>
        </is>
      </c>
      <c r="H12">
        <f>AVERAGEIF(D4:D18,"*BUY*",C4:C18)</f>
        <v/>
      </c>
    </row>
    <row r="13">
      <c r="A13" t="inlineStr">
        <is>
          <t>CAT</t>
        </is>
      </c>
      <c r="B13" t="n">
        <v>15780.574668</v>
      </c>
      <c r="C13" t="n">
        <v>39315.02</v>
      </c>
      <c r="D13" t="inlineStr">
        <is>
          <t>STRONG_BUY</t>
        </is>
      </c>
      <c r="E13" t="n">
        <v>0.02</v>
      </c>
    </row>
    <row r="14">
      <c r="A14" t="inlineStr">
        <is>
          <t>MAX</t>
        </is>
      </c>
      <c r="B14" t="n">
        <v>0.035309</v>
      </c>
      <c r="C14" t="n">
        <v>27663.61</v>
      </c>
      <c r="D14" t="inlineStr">
        <is>
          <t>STRONG_BUY</t>
        </is>
      </c>
      <c r="E14" t="n">
        <v>0.03</v>
      </c>
      <c r="G14" s="10" t="inlineStr">
        <is>
          <t>VLOOKUP EXAMPLE</t>
        </is>
      </c>
    </row>
    <row r="15">
      <c r="A15" t="inlineStr">
        <is>
          <t>GMRT</t>
        </is>
      </c>
      <c r="B15" t="n">
        <v>0.018766</v>
      </c>
      <c r="C15" t="n">
        <v>19978.37</v>
      </c>
      <c r="D15" t="inlineStr">
        <is>
          <t>STRONG_BUY</t>
        </is>
      </c>
      <c r="E15" t="n">
        <v>0.04</v>
      </c>
      <c r="G15" t="inlineStr">
        <is>
          <t>Lookup Symbol:</t>
        </is>
      </c>
      <c r="H15" t="inlineStr">
        <is>
          <t>MCH</t>
        </is>
      </c>
    </row>
    <row r="16">
      <c r="A16" t="inlineStr">
        <is>
          <t>OPUS</t>
        </is>
      </c>
      <c r="B16" t="n">
        <v>0.002983</v>
      </c>
      <c r="C16" t="n">
        <v>18974.49</v>
      </c>
      <c r="D16" t="inlineStr">
        <is>
          <t>STRONG_BUY</t>
        </is>
      </c>
      <c r="E16" t="n">
        <v>0.03</v>
      </c>
      <c r="G16" t="inlineStr">
        <is>
          <t>Found Signal:</t>
        </is>
      </c>
      <c r="H16">
        <f>VLOOKUP(H15,A4:E18,4,FALSE)</f>
        <v/>
      </c>
    </row>
    <row r="17">
      <c r="A17" t="inlineStr">
        <is>
          <t>NULS</t>
        </is>
      </c>
      <c r="B17" t="n">
        <v>0.003598</v>
      </c>
      <c r="C17" t="n">
        <v>10709.21</v>
      </c>
      <c r="D17" t="inlineStr">
        <is>
          <t>BUY</t>
        </is>
      </c>
      <c r="E17" t="n">
        <v>0.04</v>
      </c>
      <c r="G17" t="inlineStr">
        <is>
          <t>Found Score:</t>
        </is>
      </c>
      <c r="H17">
        <f>VLOOKUP(H15,A4:E18,3,FALSE)</f>
        <v/>
      </c>
    </row>
    <row r="18">
      <c r="A18" t="inlineStr">
        <is>
          <t>XBTC</t>
        </is>
      </c>
      <c r="B18" t="n">
        <v>69329.83220200001</v>
      </c>
      <c r="C18" t="n">
        <v>9211.17</v>
      </c>
      <c r="D18" t="inlineStr">
        <is>
          <t>STRONG_BUY</t>
        </is>
      </c>
      <c r="E18" t="n">
        <v>0.09</v>
      </c>
    </row>
    <row r="19">
      <c r="G19" s="11" t="inlineStr">
        <is>
          <t>IF STATEMENT EXAMPLE</t>
        </is>
      </c>
    </row>
    <row r="20">
      <c r="G20" t="inlineStr">
        <is>
          <t>Risk Classification:</t>
        </is>
      </c>
      <c r="H20">
        <f>IF(E4&lt;0.5,"Low",IF(E4&lt;2,"Medium","High"))</f>
        <v/>
      </c>
    </row>
    <row r="22">
      <c r="G22" s="12" t="inlineStr">
        <is>
          <t>INDEX MATCH (Better VLOOKUP)</t>
        </is>
      </c>
    </row>
    <row r="23">
      <c r="G23" t="inlineStr">
        <is>
          <t>Find Price by Symbol:</t>
        </is>
      </c>
      <c r="H23">
        <f>INDEX(B4:B18,MATCH(H15,A4:A18,0))</f>
        <v/>
      </c>
    </row>
  </sheetData>
  <mergeCells count="5">
    <mergeCell ref="G14:I14"/>
    <mergeCell ref="G22:I22"/>
    <mergeCell ref="G19:I19"/>
    <mergeCell ref="A1:F1"/>
    <mergeCell ref="G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PIVOT TABLE STYLE SUMMARIES</t>
        </is>
      </c>
    </row>
    <row r="3">
      <c r="A3" s="3" t="inlineStr">
        <is>
          <t>SUMMARY BY SIGNAL</t>
        </is>
      </c>
    </row>
    <row r="4">
      <c r="A4" s="7" t="inlineStr">
        <is>
          <t>Signal</t>
        </is>
      </c>
      <c r="B4" s="7" t="inlineStr">
        <is>
          <t>Count</t>
        </is>
      </c>
      <c r="C4" s="7" t="inlineStr">
        <is>
          <t>AvgScore</t>
        </is>
      </c>
      <c r="D4" s="7" t="inlineStr">
        <is>
          <t>AvgRisk</t>
        </is>
      </c>
      <c r="E4" s="7" t="inlineStr">
        <is>
          <t>AvgPrice</t>
        </is>
      </c>
    </row>
    <row r="5">
      <c r="A5" t="inlineStr">
        <is>
          <t>BUY</t>
        </is>
      </c>
      <c r="B5" t="n">
        <v>5</v>
      </c>
      <c r="C5" t="n">
        <v>115532.56</v>
      </c>
      <c r="D5" t="n">
        <v>0.06</v>
      </c>
      <c r="E5" t="n">
        <v>0.02</v>
      </c>
    </row>
    <row r="6">
      <c r="A6" t="inlineStr">
        <is>
          <t>STRONG_BUY</t>
        </is>
      </c>
      <c r="B6" t="n">
        <v>25</v>
      </c>
      <c r="C6" t="n">
        <v>77299.92</v>
      </c>
      <c r="D6" t="n">
        <v>0.17</v>
      </c>
      <c r="E6" t="n">
        <v>14857.28</v>
      </c>
    </row>
    <row r="12">
      <c r="A12" s="3" t="inlineStr">
        <is>
          <t>SUMMARY BY COIN TYPE</t>
        </is>
      </c>
    </row>
    <row r="13">
      <c r="A13" s="4" t="inlineStr">
        <is>
          <t>Type</t>
        </is>
      </c>
      <c r="B13" s="4" t="inlineStr">
        <is>
          <t>Count</t>
        </is>
      </c>
      <c r="C13" s="4" t="inlineStr">
        <is>
          <t>AvgScore</t>
        </is>
      </c>
      <c r="D13" s="4" t="inlineStr">
        <is>
          <t>TotalMarketCap</t>
        </is>
      </c>
    </row>
    <row r="14">
      <c r="A14" t="inlineStr">
        <is>
          <t>crypto</t>
        </is>
      </c>
      <c r="B14" t="n">
        <v>15</v>
      </c>
      <c r="C14" t="n">
        <v>55603.46</v>
      </c>
      <c r="D14" t="n">
        <v>64749005.6</v>
      </c>
    </row>
    <row r="15">
      <c r="A15" t="inlineStr">
        <is>
          <t>meme</t>
        </is>
      </c>
      <c r="B15" t="n">
        <v>15</v>
      </c>
      <c r="C15" t="n">
        <v>111740.59</v>
      </c>
      <c r="D15" t="n">
        <v>21504098.95</v>
      </c>
    </row>
    <row r="22">
      <c r="A22" s="3" t="inlineStr">
        <is>
          <t>SUMMARY BY CATEGORY</t>
        </is>
      </c>
    </row>
    <row r="23">
      <c r="A23" s="5" t="inlineStr">
        <is>
          <t>Category</t>
        </is>
      </c>
      <c r="B23" s="5" t="inlineStr">
        <is>
          <t>Count</t>
        </is>
      </c>
      <c r="C23" s="5" t="inlineStr">
        <is>
          <t>AvgScore</t>
        </is>
      </c>
      <c r="D23" s="5" t="inlineStr">
        <is>
          <t>AvgRisk</t>
        </is>
      </c>
    </row>
    <row r="24">
      <c r="A24" t="inlineStr">
        <is>
          <t>Small</t>
        </is>
      </c>
      <c r="B24" t="n">
        <v>30</v>
      </c>
      <c r="C24" t="n">
        <v>83672.03</v>
      </c>
      <c r="D24" t="n">
        <v>0.15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3" t="inlineStr">
        <is>
          <t>SMARTCOINS ANALYSIS DASHBOARD</t>
        </is>
      </c>
    </row>
    <row r="2">
      <c r="A2" s="14" t="inlineStr">
        <is>
          <t>Analysis Date: 2026-02-11 | Author: Bienvenu Mwenyemali</t>
        </is>
      </c>
    </row>
    <row r="4">
      <c r="A4" s="7" t="inlineStr">
        <is>
          <t>Total Coins</t>
        </is>
      </c>
      <c r="C4" s="7" t="inlineStr">
        <is>
          <t>Avg Score</t>
        </is>
      </c>
      <c r="E4" s="7" t="inlineStr">
        <is>
          <t>BUY Signals</t>
        </is>
      </c>
      <c r="G4" s="7" t="inlineStr">
        <is>
          <t>Low Risk</t>
        </is>
      </c>
      <c r="I4" s="7" t="inlineStr">
        <is>
          <t>Total Market Cap</t>
        </is>
      </c>
    </row>
    <row r="5">
      <c r="A5" s="15" t="n">
        <v>30</v>
      </c>
      <c r="C5" s="15" t="n">
        <v>83672.03</v>
      </c>
      <c r="E5" s="15" t="n">
        <v>30</v>
      </c>
      <c r="G5" s="15" t="n">
        <v>30</v>
      </c>
      <c r="I5" s="15" t="inlineStr">
        <is>
          <t>$86,253,105</t>
        </is>
      </c>
    </row>
    <row r="8">
      <c r="A8" s="3" t="inlineStr">
        <is>
          <t>TOP 10 COINS BY SCORE</t>
        </is>
      </c>
      <c r="F8" s="3" t="inlineStr">
        <is>
          <t>SIGNAL DISTRIBUTION</t>
        </is>
      </c>
    </row>
    <row r="9">
      <c r="A9" s="4" t="inlineStr">
        <is>
          <t>Coin</t>
        </is>
      </c>
      <c r="B9" s="4" t="inlineStr">
        <is>
          <t>Symbol</t>
        </is>
      </c>
      <c r="C9" s="4" t="inlineStr">
        <is>
          <t>OverallScore</t>
        </is>
      </c>
      <c r="D9" s="4" t="inlineStr">
        <is>
          <t>Signal</t>
        </is>
      </c>
      <c r="F9" s="5" t="inlineStr">
        <is>
          <t>Signal</t>
        </is>
      </c>
      <c r="G9" s="5" t="inlineStr">
        <is>
          <t>Count</t>
        </is>
      </c>
    </row>
    <row r="10">
      <c r="A10" t="inlineStr">
        <is>
          <t>Moonchain</t>
        </is>
      </c>
      <c r="B10" t="inlineStr">
        <is>
          <t>MCH</t>
        </is>
      </c>
      <c r="C10" t="n">
        <v>672822.24</v>
      </c>
      <c r="D10" t="inlineStr">
        <is>
          <t>STRONG_BUY</t>
        </is>
      </c>
      <c r="F10" t="inlineStr">
        <is>
          <t>STRONG_BUY</t>
        </is>
      </c>
      <c r="G10" t="n">
        <v>25</v>
      </c>
    </row>
    <row r="11">
      <c r="A11" t="inlineStr">
        <is>
          <t>Smilek to the Bank</t>
        </is>
      </c>
      <c r="B11" t="inlineStr">
        <is>
          <t>SMILEK</t>
        </is>
      </c>
      <c r="C11" t="n">
        <v>535945.87</v>
      </c>
      <c r="D11" t="inlineStr">
        <is>
          <t>STRONG_BUY</t>
        </is>
      </c>
      <c r="F11" t="inlineStr">
        <is>
          <t>BUY</t>
        </is>
      </c>
      <c r="G11" t="n">
        <v>5</v>
      </c>
    </row>
    <row r="12">
      <c r="A12" t="inlineStr">
        <is>
          <t>Donkey King</t>
        </is>
      </c>
      <c r="B12" t="inlineStr">
        <is>
          <t>DOKY</t>
        </is>
      </c>
      <c r="C12" t="n">
        <v>501526.55</v>
      </c>
      <c r="D12" t="inlineStr">
        <is>
          <t>BUY</t>
        </is>
      </c>
    </row>
    <row r="13">
      <c r="A13" t="inlineStr">
        <is>
          <t>Beers</t>
        </is>
      </c>
      <c r="B13" t="inlineStr">
        <is>
          <t>BEER</t>
        </is>
      </c>
      <c r="C13" t="n">
        <v>191449.6</v>
      </c>
      <c r="D13" t="inlineStr">
        <is>
          <t>STRONG_BUY</t>
        </is>
      </c>
    </row>
    <row r="14">
      <c r="A14" t="inlineStr">
        <is>
          <t>APES</t>
        </is>
      </c>
      <c r="B14" t="inlineStr">
        <is>
          <t>APES</t>
        </is>
      </c>
      <c r="C14" t="n">
        <v>135026.36</v>
      </c>
      <c r="D14" t="inlineStr">
        <is>
          <t>STRONG_BUY</t>
        </is>
      </c>
    </row>
    <row r="15">
      <c r="A15" t="inlineStr">
        <is>
          <t>MAGA</t>
        </is>
      </c>
      <c r="B15" t="inlineStr">
        <is>
          <t>PEOPLE</t>
        </is>
      </c>
      <c r="C15" t="n">
        <v>109938.32</v>
      </c>
      <c r="D15" t="inlineStr">
        <is>
          <t>STRONG_BUY</t>
        </is>
      </c>
    </row>
    <row r="16">
      <c r="A16" t="inlineStr">
        <is>
          <t>GameStop Coin</t>
        </is>
      </c>
      <c r="B16" t="inlineStr">
        <is>
          <t>GME</t>
        </is>
      </c>
      <c r="C16" t="n">
        <v>79308.64</v>
      </c>
      <c r="D16" t="inlineStr">
        <is>
          <t>STRONG_BUY</t>
        </is>
      </c>
    </row>
    <row r="17">
      <c r="A17" t="inlineStr">
        <is>
          <t>Wojak (wojaketh)</t>
        </is>
      </c>
      <c r="B17" t="inlineStr">
        <is>
          <t>WOJAK</t>
        </is>
      </c>
      <c r="C17" t="n">
        <v>59428.68</v>
      </c>
      <c r="D17" t="inlineStr">
        <is>
          <t>STRONG_BUY</t>
        </is>
      </c>
    </row>
    <row r="18">
      <c r="A18" t="inlineStr">
        <is>
          <t>KnockOut Games</t>
        </is>
      </c>
      <c r="B18" t="inlineStr">
        <is>
          <t>GG</t>
        </is>
      </c>
      <c r="C18" t="n">
        <v>56794.05</v>
      </c>
      <c r="D18" t="inlineStr">
        <is>
          <t>BUY</t>
        </is>
      </c>
    </row>
    <row r="19">
      <c r="A19" t="inlineStr">
        <is>
          <t>NOT</t>
        </is>
      </c>
      <c r="B19" t="inlineStr">
        <is>
          <t>CAT</t>
        </is>
      </c>
      <c r="C19" t="n">
        <v>39315.02</v>
      </c>
      <c r="D19" t="inlineStr">
        <is>
          <t>STRONG_BUY</t>
        </is>
      </c>
    </row>
  </sheetData>
  <mergeCells count="1">
    <mergeCell ref="A1:L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7" max="7"/>
  </cols>
  <sheetData>
    <row r="1">
      <c r="A1" s="1" t="inlineStr">
        <is>
          <t>CONDITIONAL FORMATTING DEMONSTRATION</t>
        </is>
      </c>
    </row>
    <row r="3">
      <c r="A3" s="7" t="inlineStr">
        <is>
          <t>Coin</t>
        </is>
      </c>
      <c r="B3" s="7" t="inlineStr">
        <is>
          <t>Score</t>
        </is>
      </c>
      <c r="C3" s="7" t="inlineStr">
        <is>
          <t>Risk</t>
        </is>
      </c>
      <c r="D3" s="7" t="inlineStr">
        <is>
          <t>Change24h</t>
        </is>
      </c>
      <c r="E3" s="7" t="inlineStr">
        <is>
          <t>Signal</t>
        </is>
      </c>
      <c r="G3" s="9" t="inlineStr">
        <is>
          <t>FORMATTING APPLIED:</t>
        </is>
      </c>
    </row>
    <row r="4">
      <c r="A4" t="inlineStr">
        <is>
          <t>Moonchain</t>
        </is>
      </c>
      <c r="B4" t="n">
        <v>672822.24</v>
      </c>
      <c r="C4" t="n">
        <v>0</v>
      </c>
      <c r="D4" t="n">
        <v>-0.66</v>
      </c>
      <c r="E4" t="inlineStr">
        <is>
          <t>STRONG_BUY</t>
        </is>
      </c>
      <c r="G4" t="inlineStr">
        <is>
          <t>- Score: Green (high) to Red (low)</t>
        </is>
      </c>
    </row>
    <row r="5">
      <c r="A5" t="inlineStr">
        <is>
          <t>Smilek to the Bank</t>
        </is>
      </c>
      <c r="B5" t="n">
        <v>535945.87</v>
      </c>
      <c r="C5" t="n">
        <v>0</v>
      </c>
      <c r="D5" t="n">
        <v>1384.38</v>
      </c>
      <c r="E5" t="inlineStr">
        <is>
          <t>STRONG_BUY</t>
        </is>
      </c>
      <c r="G5" t="inlineStr">
        <is>
          <t>- Risk: Green (low) to Red (high)</t>
        </is>
      </c>
    </row>
    <row r="6">
      <c r="A6" t="inlineStr">
        <is>
          <t>Donkey King</t>
        </is>
      </c>
      <c r="B6" t="n">
        <v>501526.55</v>
      </c>
      <c r="C6" t="n">
        <v>0</v>
      </c>
      <c r="D6" t="n">
        <v>2051.95</v>
      </c>
      <c r="E6" t="inlineStr">
        <is>
          <t>BUY</t>
        </is>
      </c>
      <c r="G6" t="inlineStr">
        <is>
          <t>- Change24h: Shows positive/negative</t>
        </is>
      </c>
    </row>
    <row r="7">
      <c r="A7" t="inlineStr">
        <is>
          <t>Beers</t>
        </is>
      </c>
      <c r="B7" t="n">
        <v>191449.6</v>
      </c>
      <c r="C7" t="n">
        <v>0</v>
      </c>
      <c r="D7" t="n">
        <v>1686.32</v>
      </c>
      <c r="E7" t="inlineStr">
        <is>
          <t>STRONG_BUY</t>
        </is>
      </c>
    </row>
    <row r="8">
      <c r="A8" t="inlineStr">
        <is>
          <t>APES</t>
        </is>
      </c>
      <c r="B8" t="n">
        <v>135026.36</v>
      </c>
      <c r="C8" t="n">
        <v>0.01</v>
      </c>
      <c r="D8" t="n">
        <v>2943.12</v>
      </c>
      <c r="E8" t="inlineStr">
        <is>
          <t>STRONG_BUY</t>
        </is>
      </c>
      <c r="G8" t="inlineStr">
        <is>
          <t>This helps quickly identify:</t>
        </is>
      </c>
    </row>
    <row r="9">
      <c r="A9" t="inlineStr">
        <is>
          <t>MAGA</t>
        </is>
      </c>
      <c r="B9" t="n">
        <v>109938.32</v>
      </c>
      <c r="C9" t="n">
        <v>0.01</v>
      </c>
      <c r="D9" t="n">
        <v>1888.59</v>
      </c>
      <c r="E9" t="inlineStr">
        <is>
          <t>STRONG_BUY</t>
        </is>
      </c>
      <c r="G9" t="inlineStr">
        <is>
          <t>- Best performing coins (green score)</t>
        </is>
      </c>
    </row>
    <row r="10">
      <c r="A10" t="inlineStr">
        <is>
          <t>GameStop Coin</t>
        </is>
      </c>
      <c r="B10" t="n">
        <v>79308.64</v>
      </c>
      <c r="C10" t="n">
        <v>0.01</v>
      </c>
      <c r="D10" t="n">
        <v>1249.68</v>
      </c>
      <c r="E10" t="inlineStr">
        <is>
          <t>STRONG_BUY</t>
        </is>
      </c>
      <c r="G10" t="inlineStr">
        <is>
          <t>- Lowest risk coins (green risk)</t>
        </is>
      </c>
    </row>
    <row r="11">
      <c r="A11" t="inlineStr">
        <is>
          <t>Wojak (wojaketh)</t>
        </is>
      </c>
      <c r="B11" t="n">
        <v>59428.68</v>
      </c>
      <c r="C11" t="n">
        <v>0.01</v>
      </c>
      <c r="D11" t="n">
        <v>-29.42</v>
      </c>
      <c r="E11" t="inlineStr">
        <is>
          <t>STRONG_BUY</t>
        </is>
      </c>
      <c r="G11" t="inlineStr">
        <is>
          <t>- Price movements at a glance</t>
        </is>
      </c>
    </row>
    <row r="12">
      <c r="A12" t="inlineStr">
        <is>
          <t>KnockOut Games</t>
        </is>
      </c>
      <c r="B12" t="n">
        <v>56794.05</v>
      </c>
      <c r="C12" t="n">
        <v>0.01</v>
      </c>
      <c r="D12" t="n">
        <v>-4.49</v>
      </c>
      <c r="E12" t="inlineStr">
        <is>
          <t>BUY</t>
        </is>
      </c>
    </row>
    <row r="13">
      <c r="A13" t="inlineStr">
        <is>
          <t>NOT</t>
        </is>
      </c>
      <c r="B13" t="n">
        <v>39315.02</v>
      </c>
      <c r="C13" t="n">
        <v>0.02</v>
      </c>
      <c r="D13" t="n">
        <v>1416.07</v>
      </c>
      <c r="E13" t="inlineStr">
        <is>
          <t>STRONG_BUY</t>
        </is>
      </c>
    </row>
    <row r="14">
      <c r="A14" t="inlineStr">
        <is>
          <t>Matr1x</t>
        </is>
      </c>
      <c r="B14" t="n">
        <v>27663.61</v>
      </c>
      <c r="C14" t="n">
        <v>0.03</v>
      </c>
      <c r="D14" t="n">
        <v>185.42</v>
      </c>
      <c r="E14" t="inlineStr">
        <is>
          <t>STRONG_BUY</t>
        </is>
      </c>
    </row>
    <row r="15">
      <c r="A15" t="inlineStr">
        <is>
          <t>The Game Company</t>
        </is>
      </c>
      <c r="B15" t="n">
        <v>19978.37</v>
      </c>
      <c r="C15" t="n">
        <v>0.04</v>
      </c>
      <c r="D15" t="n">
        <v>5601.68</v>
      </c>
      <c r="E15" t="inlineStr">
        <is>
          <t>STRONG_BUY</t>
        </is>
      </c>
    </row>
    <row r="16">
      <c r="A16" t="inlineStr">
        <is>
          <t>Opus Genesis</t>
        </is>
      </c>
      <c r="B16" t="n">
        <v>18974.49</v>
      </c>
      <c r="C16" t="n">
        <v>0.03</v>
      </c>
      <c r="D16" t="n">
        <v>-0.7</v>
      </c>
      <c r="E16" t="inlineStr">
        <is>
          <t>STRONG_BUY</t>
        </is>
      </c>
    </row>
    <row r="17">
      <c r="A17" t="inlineStr">
        <is>
          <t>NULS</t>
        </is>
      </c>
      <c r="B17" t="n">
        <v>10709.21</v>
      </c>
      <c r="C17" t="n">
        <v>0.04</v>
      </c>
      <c r="D17" t="n">
        <v>6128.04</v>
      </c>
      <c r="E17" t="inlineStr">
        <is>
          <t>BUY</t>
        </is>
      </c>
    </row>
    <row r="18">
      <c r="A18" t="inlineStr">
        <is>
          <t>XenBitcoin</t>
        </is>
      </c>
      <c r="B18" t="n">
        <v>9211.17</v>
      </c>
      <c r="C18" t="n">
        <v>0.09</v>
      </c>
      <c r="D18" t="n">
        <v>2527.72</v>
      </c>
      <c r="E18" t="inlineStr">
        <is>
          <t>STRONG_BUY</t>
        </is>
      </c>
    </row>
    <row r="19">
      <c r="A19" t="inlineStr">
        <is>
          <t>Groestlcoin</t>
        </is>
      </c>
      <c r="B19" t="n">
        <v>5433.92</v>
      </c>
      <c r="C19" t="n">
        <v>0.17</v>
      </c>
      <c r="D19" t="n">
        <v>1247.26</v>
      </c>
      <c r="E19" t="inlineStr">
        <is>
          <t>BUY</t>
        </is>
      </c>
    </row>
    <row r="20">
      <c r="A20" t="inlineStr">
        <is>
          <t>PEPE</t>
        </is>
      </c>
      <c r="B20" t="n">
        <v>4085.38</v>
      </c>
      <c r="C20" t="n">
        <v>0.23</v>
      </c>
      <c r="D20" t="n">
        <v>1047.6</v>
      </c>
      <c r="E20" t="inlineStr">
        <is>
          <t>STRONG_BUY</t>
        </is>
      </c>
    </row>
    <row r="21">
      <c r="A21" t="inlineStr">
        <is>
          <t>TRUMP AI</t>
        </is>
      </c>
      <c r="B21" t="n">
        <v>3554.91</v>
      </c>
      <c r="C21" t="n">
        <v>0.21</v>
      </c>
      <c r="D21" t="n">
        <v>1124.93</v>
      </c>
      <c r="E21" t="inlineStr">
        <is>
          <t>STRONG_BUY</t>
        </is>
      </c>
    </row>
    <row r="22">
      <c r="A22" t="inlineStr">
        <is>
          <t>Robinhood</t>
        </is>
      </c>
      <c r="B22" t="n">
        <v>3199.07</v>
      </c>
      <c r="C22" t="n">
        <v>0.07000000000000001</v>
      </c>
      <c r="D22" t="n">
        <v>-16.57</v>
      </c>
      <c r="E22" t="inlineStr">
        <is>
          <t>BUY</t>
        </is>
      </c>
    </row>
    <row r="23">
      <c r="A23" t="inlineStr">
        <is>
          <t>I love puppies</t>
        </is>
      </c>
      <c r="B23" t="n">
        <v>3109.69</v>
      </c>
      <c r="C23" t="n">
        <v>0.35</v>
      </c>
      <c r="D23" t="n">
        <v>368.68</v>
      </c>
      <c r="E23" t="inlineStr">
        <is>
          <t>STRONG_BUY</t>
        </is>
      </c>
    </row>
  </sheetData>
  <mergeCells count="1">
    <mergeCell ref="A1:E1"/>
  </mergeCells>
  <conditionalFormatting sqref="B4:B2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:C23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2026-02-11T12:29:47Z</dcterms:created>
  <dcterms:modified xsi:type="dcterms:W3CDTF">2026-02-11T12:29:47Z</dcterms:modified>
</cp:coreProperties>
</file>